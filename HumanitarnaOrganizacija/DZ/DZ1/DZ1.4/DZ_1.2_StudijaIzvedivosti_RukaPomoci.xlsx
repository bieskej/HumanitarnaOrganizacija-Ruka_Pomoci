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aliza izvedivosti" sheetId="1" state="visible" r:id="rId3"/>
    <sheet name="Analiza troskova" sheetId="2" state="visible" r:id="rId4"/>
    <sheet name="Preporuk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<sst xmlns="http://schemas.openxmlformats.org/spreadsheetml/2006/main" count="111" uniqueCount="85">
  <si>
    <t xml:space="preserve">Studija izvedivosti – IS Humanitarna akcija "Ruka pomoci"</t>
  </si>
  <si>
    <t xml:space="preserve">Kriterij / Alternativa</t>
  </si>
  <si>
    <t xml:space="preserve">Nadogradnja postojeceg sustava</t>
  </si>
  <si>
    <t xml:space="preserve">Ocjena</t>
  </si>
  <si>
    <t xml:space="preserve">Izrada vlastitog rjesenja</t>
  </si>
  <si>
    <t xml:space="preserve">Vrsta kriterija</t>
  </si>
  <si>
    <t xml:space="preserve">Kriterij ocjene</t>
  </si>
  <si>
    <t xml:space="preserve">Baza donatora</t>
  </si>
  <si>
    <t xml:space="preserve">Baza volontera</t>
  </si>
  <si>
    <t xml:space="preserve">Baza korisnika</t>
  </si>
  <si>
    <t xml:space="preserve">Modul distribucije</t>
  </si>
  <si>
    <t xml:space="preserve">Avg</t>
  </si>
  <si>
    <t xml:space="preserve">Operativna</t>
  </si>
  <si>
    <t xml:space="preserve">Uklapanje u postojece procese</t>
  </si>
  <si>
    <t xml:space="preserve">Tehnicka</t>
  </si>
  <si>
    <t xml:space="preserve">Tehnoloska izvedivost</t>
  </si>
  <si>
    <t xml:space="preserve">Vremenska</t>
  </si>
  <si>
    <t xml:space="preserve">Mogucnost isporuke u roku</t>
  </si>
  <si>
    <t xml:space="preserve">Ekonomska</t>
  </si>
  <si>
    <t xml:space="preserve">Troskovna prihvatljivost</t>
  </si>
  <si>
    <t xml:space="preserve">UKUPNA OCJENA ALTERNATIVE</t>
  </si>
  <si>
    <t xml:space="preserve">KONACNI PRIJEDLOG ALTERNATIVE</t>
  </si>
  <si>
    <t xml:space="preserve">Modul</t>
  </si>
  <si>
    <t xml:space="preserve">Odabrana alternativa</t>
  </si>
  <si>
    <t xml:space="preserve">Obrazlozenje</t>
  </si>
  <si>
    <t xml:space="preserve">Baza donatora i donacija</t>
  </si>
  <si>
    <t xml:space="preserve">Najveca fleksibilnost, prilagodba specificnim procesima udruge</t>
  </si>
  <si>
    <t xml:space="preserve">Potrebna integracija s modulom distribucije i specifican workflow zadataka</t>
  </si>
  <si>
    <t xml:space="preserve">Osjetljivi podaci - potrebna vlastita kontrola nad podacima</t>
  </si>
  <si>
    <t xml:space="preserve">Specificni logisticki procesi zahtijevaju prilagodeno rjesenje</t>
  </si>
  <si>
    <t xml:space="preserve">Legenda ocjena:</t>
  </si>
  <si>
    <t xml:space="preserve">1 - Lose</t>
  </si>
  <si>
    <t xml:space="preserve">2 - Srednje</t>
  </si>
  <si>
    <t xml:space="preserve">3 - Dobro</t>
  </si>
  <si>
    <t xml:space="preserve">Analiza troskova – IS Humanitarna akcija "Ruka pomoci"</t>
  </si>
  <si>
    <t xml:space="preserve">1. LJUDSKI RAD</t>
  </si>
  <si>
    <t xml:space="preserve">Uloga</t>
  </si>
  <si>
    <t xml:space="preserve">Kolicina (sati)</t>
  </si>
  <si>
    <t xml:space="preserve">Cijena (EUR/sat)</t>
  </si>
  <si>
    <t xml:space="preserve">Ukupno (EUR)</t>
  </si>
  <si>
    <t xml:space="preserve">Napomena</t>
  </si>
  <si>
    <t xml:space="preserve">Analiticar sustava</t>
  </si>
  <si>
    <t xml:space="preserve">Programer (backend)</t>
  </si>
  <si>
    <t xml:space="preserve">Programer (frontend)</t>
  </si>
  <si>
    <t xml:space="preserve">Dizajner baze podataka</t>
  </si>
  <si>
    <t xml:space="preserve">UI/UX dizajner</t>
  </si>
  <si>
    <t xml:space="preserve">Tester</t>
  </si>
  <si>
    <t xml:space="preserve">Voditelj projekta</t>
  </si>
  <si>
    <t xml:space="preserve">Interni trošak</t>
  </si>
  <si>
    <t xml:space="preserve">Meduzbir – Ljudski rad</t>
  </si>
  <si>
    <t xml:space="preserve">2. EDUKACIJA</t>
  </si>
  <si>
    <t xml:space="preserve">Vrsta edukacije</t>
  </si>
  <si>
    <t xml:space="preserve">Trajanje (dani)</t>
  </si>
  <si>
    <t xml:space="preserve">Cijena (EUR/dan)</t>
  </si>
  <si>
    <t xml:space="preserve">Obuka koordinatora</t>
  </si>
  <si>
    <t xml:space="preserve">Edukacijski materijali volontera</t>
  </si>
  <si>
    <t xml:space="preserve">Meduzbir – Edukacija</t>
  </si>
  <si>
    <t xml:space="preserve">3. MATERIJAL</t>
  </si>
  <si>
    <t xml:space="preserve">Vrsta materijala</t>
  </si>
  <si>
    <t xml:space="preserve">Cijena (EUR)</t>
  </si>
  <si>
    <t xml:space="preserve">Potrosni materijal</t>
  </si>
  <si>
    <t xml:space="preserve">Promotivni materijal</t>
  </si>
  <si>
    <t xml:space="preserve">Meduzbir – Materijal</t>
  </si>
  <si>
    <t xml:space="preserve">4. OPREMA I INFRASTRUKTURA</t>
  </si>
  <si>
    <t xml:space="preserve">Vrsta opreme</t>
  </si>
  <si>
    <t xml:space="preserve">Kolicina</t>
  </si>
  <si>
    <t xml:space="preserve">Cijena/kom (EUR)</t>
  </si>
  <si>
    <t xml:space="preserve">Cloud Web Server (godisnje)</t>
  </si>
  <si>
    <t xml:space="preserve">Licence za razvojne alate</t>
  </si>
  <si>
    <t xml:space="preserve">Racunala za koordinatore</t>
  </si>
  <si>
    <t xml:space="preserve">Meduzbir – Oprema</t>
  </si>
  <si>
    <t xml:space="preserve">UKUPNI PROCIJENJENI TROSKOVI PROJEKTA</t>
  </si>
  <si>
    <t xml:space="preserve">Napomena: Sve cijene su okvirne procjene. Konacni troskovnik bit ce izraden nakon faze detaljne analize.</t>
  </si>
  <si>
    <t xml:space="preserve">Sazetak i preporuka</t>
  </si>
  <si>
    <t xml:space="preserve">Usporedba alternativa po modulima</t>
  </si>
  <si>
    <t xml:space="preserve">Nadogradnja (avg)</t>
  </si>
  <si>
    <t xml:space="preserve">Izrada vlastita (avg)</t>
  </si>
  <si>
    <t xml:space="preserve">Preporuka</t>
  </si>
  <si>
    <t xml:space="preserve">Modul distribucije/logistike</t>
  </si>
  <si>
    <t xml:space="preserve">Zakljucak i obrazlozenje preporuke</t>
  </si>
  <si>
    <t xml:space="preserve">  ●  Izrada vlastitog informacijskog sustava preporucena je za sve cetiri module.</t>
  </si>
  <si>
    <t xml:space="preserve">  ●  Rjesenje ce biti u potpunosti prilagodeno specificnim procesima udruge 'Solidarna Hrvatska'.</t>
  </si>
  <si>
    <t xml:space="preserve">  ●  Sustav ce omoguciti centralizirano upravljanje donacijama, volonterima, korisnicima i distribucijom.</t>
  </si>
  <si>
    <t xml:space="preserve">  ●  Ocekivani ukupni troskovi razvoja iznose ~45.550 EUR sto je ekonomski opravdano.</t>
  </si>
  <si>
    <t xml:space="preserve">  ●  Sustav je zamisljem modularno i moze se prosiriti za potrebe drugih humanitarnih organizacija.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</si>
</sst>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C5F8A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5F8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EEF4FB"/>
        <bgColor rgb="FFFFFFFF"/>
      </patternFill>
    </fill>
    <fill>
      <patternFill patternType="solid">
        <fgColor rgb="FF2C5F8A"/>
        <bgColor rgb="FF0066CC"/>
      </patternFill>
    </fill>
    <fill>
      <patternFill patternType="solid">
        <fgColor rgb="FF4A90C4"/>
        <bgColor rgb="FF3366FF"/>
      </patternFill>
    </fill>
    <fill>
      <patternFill patternType="solid">
        <fgColor rgb="FFFFEB9C"/>
        <bgColor rgb="FFFFC7CE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EEF4FB"/>
      </patternFill>
    </fill>
    <fill>
      <patternFill patternType="solid">
        <fgColor rgb="FFFFC7CE"/>
        <bgColor rgb="FFCCCC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medium">
        <color rgb="FF2C5F8A"/>
      </left>
      <right/>
      <top style="medium">
        <color rgb="FF2C5F8A"/>
      </top>
      <bottom style="medium">
        <color rgb="FF2C5F8A"/>
      </bottom>
      <diagonal/>
    </border>
    <border diagonalUp="false" diagonalDown="false">
      <left style="medium">
        <color rgb="FF2C5F8A"/>
      </left>
      <right style="medium">
        <color rgb="FF2C5F8A"/>
      </right>
      <top style="medium">
        <color rgb="FF2C5F8A"/>
      </top>
      <bottom style="medium">
        <color rgb="FF2C5F8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777777"/>
      <rgbColor rgb="FF9999FF"/>
      <rgbColor rgb="FF993366"/>
      <rgbColor rgb="FFEEF4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2C5F8A"/>
      <rgbColor rgb="FF969696"/>
      <rgbColor rgb="FF003366"/>
      <rgbColor rgb="FF4A90C4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6" min="3" style="0" width="12"/>
    <col collapsed="false" customWidth="true" hidden="false" outlineLevel="0" max="7" min="7" style="0" width="14"/>
    <col collapsed="false" customWidth="true" hidden="false" outlineLevel="0" max="11" min="8" style="0" width="12"/>
    <col collapsed="false" customWidth="true" hidden="false" outlineLevel="0" max="12" min="12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6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30" hidden="false" customHeight="true" outlineLevel="0" collapsed="false">
      <c r="A3" s="2" t="s">
        <v>1</v>
      </c>
      <c r="B3" s="2"/>
      <c r="C3" s="2" t="s">
        <v>2</v>
      </c>
      <c r="D3" s="2"/>
      <c r="E3" s="2"/>
      <c r="F3" s="2"/>
      <c r="G3" s="3" t="s">
        <v>3</v>
      </c>
      <c r="H3" s="4" t="s">
        <v>4</v>
      </c>
      <c r="I3" s="4"/>
      <c r="J3" s="4"/>
      <c r="K3" s="4"/>
      <c r="L3" s="5" t="s">
        <v>3</v>
      </c>
    </row>
    <row r="4" customFormat="false" ht="27.75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H4" s="7" t="s">
        <v>7</v>
      </c>
      <c r="I4" s="7" t="s">
        <v>8</v>
      </c>
      <c r="J4" s="7" t="s">
        <v>9</v>
      </c>
      <c r="K4" s="7" t="s">
        <v>10</v>
      </c>
      <c r="L4" s="7" t="s">
        <v>11</v>
      </c>
    </row>
    <row r="5" customFormat="false" ht="19.5" hidden="false" customHeight="true" outlineLevel="0" collapsed="false">
      <c r="A5" s="8" t="s">
        <v>12</v>
      </c>
      <c r="B5" s="8" t="s">
        <v>13</v>
      </c>
      <c r="C5" s="9" t="n">
        <v>2</v>
      </c>
      <c r="D5" s="10" t="n">
        <v>3</v>
      </c>
      <c r="E5" s="10" t="n">
        <v>3</v>
      </c>
      <c r="F5" s="9" t="n">
        <v>2</v>
      </c>
      <c r="G5" s="11" t="n">
        <v>2.5</v>
      </c>
      <c r="H5" s="10" t="n">
        <v>3</v>
      </c>
      <c r="I5" s="9" t="n">
        <v>2</v>
      </c>
      <c r="J5" s="9" t="n">
        <v>2</v>
      </c>
      <c r="K5" s="9" t="n">
        <v>2</v>
      </c>
      <c r="L5" s="12" t="n">
        <v>2.25</v>
      </c>
    </row>
    <row r="6" customFormat="false" ht="19.5" hidden="false" customHeight="true" outlineLevel="0" collapsed="false">
      <c r="A6" s="13" t="s">
        <v>14</v>
      </c>
      <c r="B6" s="13" t="s">
        <v>15</v>
      </c>
      <c r="C6" s="9" t="n">
        <v>2</v>
      </c>
      <c r="D6" s="9" t="n">
        <v>2</v>
      </c>
      <c r="E6" s="9" t="n">
        <v>2</v>
      </c>
      <c r="F6" s="9" t="n">
        <v>2</v>
      </c>
      <c r="G6" s="11" t="n">
        <v>2</v>
      </c>
      <c r="H6" s="10" t="n">
        <v>3</v>
      </c>
      <c r="I6" s="10" t="n">
        <v>3</v>
      </c>
      <c r="J6" s="9" t="n">
        <v>2</v>
      </c>
      <c r="K6" s="9" t="n">
        <v>2</v>
      </c>
      <c r="L6" s="12" t="n">
        <v>2.5</v>
      </c>
    </row>
    <row r="7" customFormat="false" ht="19.5" hidden="false" customHeight="true" outlineLevel="0" collapsed="false">
      <c r="A7" s="8" t="s">
        <v>16</v>
      </c>
      <c r="B7" s="8" t="s">
        <v>17</v>
      </c>
      <c r="C7" s="9" t="n">
        <v>2</v>
      </c>
      <c r="D7" s="9" t="n">
        <v>2</v>
      </c>
      <c r="E7" s="9" t="n">
        <v>2</v>
      </c>
      <c r="F7" s="9" t="n">
        <v>2</v>
      </c>
      <c r="G7" s="11" t="n">
        <v>2</v>
      </c>
      <c r="H7" s="9" t="n">
        <v>2</v>
      </c>
      <c r="I7" s="10" t="n">
        <v>3</v>
      </c>
      <c r="J7" s="10" t="n">
        <v>3</v>
      </c>
      <c r="K7" s="9" t="n">
        <v>2</v>
      </c>
      <c r="L7" s="12" t="n">
        <v>2.5</v>
      </c>
    </row>
    <row r="8" customFormat="false" ht="19.5" hidden="false" customHeight="true" outlineLevel="0" collapsed="false">
      <c r="A8" s="13" t="s">
        <v>18</v>
      </c>
      <c r="B8" s="13" t="s">
        <v>19</v>
      </c>
      <c r="C8" s="9" t="n">
        <v>2</v>
      </c>
      <c r="D8" s="9" t="n">
        <v>2</v>
      </c>
      <c r="E8" s="14" t="n">
        <v>1</v>
      </c>
      <c r="F8" s="14" t="n">
        <v>1</v>
      </c>
      <c r="G8" s="11" t="n">
        <v>1.5</v>
      </c>
      <c r="H8" s="10" t="n">
        <v>3</v>
      </c>
      <c r="I8" s="10" t="n">
        <v>3</v>
      </c>
      <c r="J8" s="10" t="n">
        <v>3</v>
      </c>
      <c r="K8" s="9" t="n">
        <v>2</v>
      </c>
      <c r="L8" s="12" t="n">
        <v>2.75</v>
      </c>
    </row>
    <row r="9" customFormat="false" ht="24" hidden="false" customHeight="true" outlineLevel="0" collapsed="false">
      <c r="A9" s="15" t="s">
        <v>20</v>
      </c>
      <c r="B9" s="15"/>
      <c r="C9" s="11" t="n">
        <v>2</v>
      </c>
      <c r="D9" s="11" t="n">
        <v>3</v>
      </c>
      <c r="E9" s="11" t="n">
        <v>2</v>
      </c>
      <c r="F9" s="11" t="n">
        <v>1.5</v>
      </c>
      <c r="G9" s="16" t="n">
        <f aca="false">AVERAGE(G5:G8)</f>
        <v>2</v>
      </c>
      <c r="H9" s="12" t="n">
        <v>3</v>
      </c>
      <c r="I9" s="12" t="n">
        <v>2.75</v>
      </c>
      <c r="J9" s="12" t="n">
        <v>2.75</v>
      </c>
      <c r="K9" s="12" t="n">
        <v>2</v>
      </c>
      <c r="L9" s="17" t="n">
        <f aca="false">AVERAGE(L5:L8)</f>
        <v>2.5</v>
      </c>
    </row>
    <row r="11" customFormat="false" ht="19.5" hidden="false" customHeight="true" outlineLevel="0" collapsed="false">
      <c r="A11" s="2" t="s">
        <v>21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</row>
    <row r="12" customFormat="false" ht="24" hidden="false" customHeight="true" outlineLevel="0" collapsed="false">
      <c r="A12" s="3" t="s">
        <v>22</v>
      </c>
      <c r="B12" s="3"/>
      <c r="C12" s="3"/>
      <c r="D12" s="3"/>
      <c r="E12" s="3" t="s">
        <v>23</v>
      </c>
      <c r="F12" s="3"/>
      <c r="G12" s="3"/>
      <c r="H12" s="3" t="s">
        <v>24</v>
      </c>
      <c r="I12" s="3"/>
      <c r="J12" s="3"/>
      <c r="K12" s="3"/>
      <c r="L12" s="3"/>
    </row>
    <row r="13" customFormat="false" ht="19.5" hidden="false" customHeight="true" outlineLevel="0" collapsed="false">
      <c r="A13" s="18" t="s">
        <v>25</v>
      </c>
      <c r="B13" s="18"/>
      <c r="C13" s="18"/>
      <c r="D13" s="18"/>
      <c r="E13" s="19" t="s">
        <v>4</v>
      </c>
      <c r="F13" s="19"/>
      <c r="G13" s="19"/>
      <c r="H13" s="20" t="s">
        <v>26</v>
      </c>
      <c r="I13" s="20"/>
      <c r="J13" s="20"/>
      <c r="K13" s="20"/>
      <c r="L13" s="20"/>
    </row>
    <row r="14" customFormat="false" ht="19.5" hidden="false" customHeight="true" outlineLevel="0" collapsed="false">
      <c r="A14" s="21" t="s">
        <v>8</v>
      </c>
      <c r="B14" s="21"/>
      <c r="C14" s="21"/>
      <c r="D14" s="21"/>
      <c r="E14" s="19" t="s">
        <v>4</v>
      </c>
      <c r="F14" s="19"/>
      <c r="G14" s="19"/>
      <c r="H14" s="22" t="s">
        <v>27</v>
      </c>
      <c r="I14" s="22"/>
      <c r="J14" s="22"/>
      <c r="K14" s="22"/>
      <c r="L14" s="22"/>
    </row>
    <row r="15" customFormat="false" ht="19.5" hidden="false" customHeight="true" outlineLevel="0" collapsed="false">
      <c r="A15" s="18" t="s">
        <v>9</v>
      </c>
      <c r="B15" s="18"/>
      <c r="C15" s="18"/>
      <c r="D15" s="18"/>
      <c r="E15" s="19" t="s">
        <v>4</v>
      </c>
      <c r="F15" s="19"/>
      <c r="G15" s="19"/>
      <c r="H15" s="20" t="s">
        <v>28</v>
      </c>
      <c r="I15" s="20"/>
      <c r="J15" s="20"/>
      <c r="K15" s="20"/>
      <c r="L15" s="20"/>
    </row>
    <row r="16" customFormat="false" ht="19.5" hidden="false" customHeight="true" outlineLevel="0" collapsed="false">
      <c r="A16" s="21" t="s">
        <v>10</v>
      </c>
      <c r="B16" s="21"/>
      <c r="C16" s="21"/>
      <c r="D16" s="21"/>
      <c r="E16" s="19" t="s">
        <v>4</v>
      </c>
      <c r="F16" s="19"/>
      <c r="G16" s="19"/>
      <c r="H16" s="22" t="s">
        <v>29</v>
      </c>
      <c r="I16" s="22"/>
      <c r="J16" s="22"/>
      <c r="K16" s="22"/>
      <c r="L16" s="22"/>
    </row>
    <row r="18" customFormat="false" ht="18" hidden="false" customHeight="true" outlineLevel="0" collapsed="false">
      <c r="A18" s="23" t="s">
        <v>30</v>
      </c>
      <c r="B18" s="23"/>
      <c r="C18" s="14" t="s">
        <v>31</v>
      </c>
      <c r="E18" s="9" t="s">
        <v>32</v>
      </c>
      <c r="G18" s="10" t="s">
        <v>33</v>
      </c>
    </row>
  </sheetData>
  <mergeCells count="22">
    <mergeCell ref="A1:L2"/>
    <mergeCell ref="A3:B3"/>
    <mergeCell ref="C3:F3"/>
    <mergeCell ref="H3:K3"/>
    <mergeCell ref="A9:B9"/>
    <mergeCell ref="A11:L11"/>
    <mergeCell ref="A12:D12"/>
    <mergeCell ref="E12:G12"/>
    <mergeCell ref="H12:L12"/>
    <mergeCell ref="A13:D13"/>
    <mergeCell ref="E13:G13"/>
    <mergeCell ref="H13:L13"/>
    <mergeCell ref="A14:D14"/>
    <mergeCell ref="E14:G14"/>
    <mergeCell ref="H14:L14"/>
    <mergeCell ref="A15:D15"/>
    <mergeCell ref="E15:G15"/>
    <mergeCell ref="H15:L15"/>
    <mergeCell ref="A16:D16"/>
    <mergeCell ref="E16:G16"/>
    <mergeCell ref="H16:L16"/>
    <mergeCell ref="A18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6"/>
  </cols>
  <sheetData>
    <row r="1" customFormat="false" ht="24" hidden="false" customHeight="true" outlineLevel="0" collapsed="false">
      <c r="A1" s="1" t="s">
        <v>34</v>
      </c>
      <c r="B1" s="1"/>
      <c r="C1" s="1"/>
      <c r="D1" s="1"/>
      <c r="E1" s="1"/>
    </row>
    <row r="2" customFormat="false" ht="6" hidden="false" customHeight="true" outlineLevel="0" collapsed="false">
      <c r="A2" s="1"/>
      <c r="B2" s="1"/>
      <c r="C2" s="1"/>
      <c r="D2" s="1"/>
      <c r="E2" s="1"/>
    </row>
    <row r="3" customFormat="false" ht="21.75" hidden="false" customHeight="true" outlineLevel="0" collapsed="false">
      <c r="A3" s="24" t="s">
        <v>35</v>
      </c>
      <c r="B3" s="24"/>
      <c r="C3" s="24"/>
      <c r="D3" s="24"/>
      <c r="E3" s="24"/>
    </row>
    <row r="4" customFormat="false" ht="21.75" hidden="false" customHeight="true" outlineLevel="0" collapsed="false">
      <c r="A4" s="25" t="s">
        <v>36</v>
      </c>
      <c r="B4" s="25" t="s">
        <v>37</v>
      </c>
      <c r="C4" s="25" t="s">
        <v>38</v>
      </c>
      <c r="D4" s="25" t="s">
        <v>39</v>
      </c>
      <c r="E4" s="25" t="s">
        <v>40</v>
      </c>
    </row>
    <row r="5" customFormat="false" ht="18" hidden="false" customHeight="true" outlineLevel="0" collapsed="false">
      <c r="A5" s="13" t="s">
        <v>41</v>
      </c>
      <c r="B5" s="26" t="n">
        <v>120</v>
      </c>
      <c r="C5" s="26" t="n">
        <v>45</v>
      </c>
      <c r="D5" s="27" t="n">
        <f aca="false">B5*C5</f>
        <v>5400</v>
      </c>
      <c r="E5" s="26"/>
    </row>
    <row r="6" customFormat="false" ht="18" hidden="false" customHeight="true" outlineLevel="0" collapsed="false">
      <c r="A6" s="8" t="s">
        <v>42</v>
      </c>
      <c r="B6" s="28" t="n">
        <v>200</v>
      </c>
      <c r="C6" s="28" t="n">
        <v>40</v>
      </c>
      <c r="D6" s="29" t="n">
        <f aca="false">B6*C6</f>
        <v>8000</v>
      </c>
      <c r="E6" s="28"/>
    </row>
    <row r="7" customFormat="false" ht="18" hidden="false" customHeight="true" outlineLevel="0" collapsed="false">
      <c r="A7" s="13" t="s">
        <v>43</v>
      </c>
      <c r="B7" s="26" t="n">
        <v>150</v>
      </c>
      <c r="C7" s="26" t="n">
        <v>40</v>
      </c>
      <c r="D7" s="27" t="n">
        <f aca="false">B7*C7</f>
        <v>6000</v>
      </c>
      <c r="E7" s="26"/>
    </row>
    <row r="8" customFormat="false" ht="18" hidden="false" customHeight="true" outlineLevel="0" collapsed="false">
      <c r="A8" s="8" t="s">
        <v>44</v>
      </c>
      <c r="B8" s="28" t="n">
        <v>100</v>
      </c>
      <c r="C8" s="28" t="n">
        <v>40</v>
      </c>
      <c r="D8" s="29" t="n">
        <f aca="false">B8*C8</f>
        <v>4000</v>
      </c>
      <c r="E8" s="28"/>
    </row>
    <row r="9" customFormat="false" ht="18" hidden="false" customHeight="true" outlineLevel="0" collapsed="false">
      <c r="A9" s="13" t="s">
        <v>45</v>
      </c>
      <c r="B9" s="26" t="n">
        <v>150</v>
      </c>
      <c r="C9" s="26" t="n">
        <v>25</v>
      </c>
      <c r="D9" s="27" t="n">
        <f aca="false">B9*C9</f>
        <v>3750</v>
      </c>
      <c r="E9" s="26"/>
    </row>
    <row r="10" customFormat="false" ht="18" hidden="false" customHeight="true" outlineLevel="0" collapsed="false">
      <c r="A10" s="8" t="s">
        <v>46</v>
      </c>
      <c r="B10" s="28" t="n">
        <v>80</v>
      </c>
      <c r="C10" s="28" t="n">
        <v>35</v>
      </c>
      <c r="D10" s="29" t="n">
        <f aca="false">B10*C10</f>
        <v>2800</v>
      </c>
      <c r="E10" s="28"/>
    </row>
    <row r="11" customFormat="false" ht="18" hidden="false" customHeight="true" outlineLevel="0" collapsed="false">
      <c r="A11" s="13" t="s">
        <v>47</v>
      </c>
      <c r="B11" s="26" t="n">
        <v>200</v>
      </c>
      <c r="C11" s="26" t="n">
        <v>5</v>
      </c>
      <c r="D11" s="27" t="n">
        <f aca="false">B11*C11</f>
        <v>1000</v>
      </c>
      <c r="E11" s="26" t="s">
        <v>48</v>
      </c>
    </row>
    <row r="12" customFormat="false" ht="19.5" hidden="false" customHeight="true" outlineLevel="0" collapsed="false">
      <c r="A12" s="30" t="s">
        <v>49</v>
      </c>
      <c r="B12" s="30"/>
      <c r="C12" s="30"/>
      <c r="D12" s="31" t="n">
        <f aca="false">SUM(D5:D11)</f>
        <v>30950</v>
      </c>
      <c r="E12" s="32"/>
    </row>
    <row r="14" customFormat="false" ht="21.75" hidden="false" customHeight="true" outlineLevel="0" collapsed="false">
      <c r="A14" s="24" t="s">
        <v>50</v>
      </c>
      <c r="B14" s="24"/>
      <c r="C14" s="24"/>
      <c r="D14" s="24"/>
      <c r="E14" s="24"/>
    </row>
    <row r="15" customFormat="false" ht="21.75" hidden="false" customHeight="true" outlineLevel="0" collapsed="false">
      <c r="A15" s="25" t="s">
        <v>51</v>
      </c>
      <c r="B15" s="25" t="s">
        <v>52</v>
      </c>
      <c r="C15" s="25" t="s">
        <v>53</v>
      </c>
      <c r="D15" s="25" t="s">
        <v>39</v>
      </c>
      <c r="E15" s="25" t="s">
        <v>40</v>
      </c>
    </row>
    <row r="16" customFormat="false" ht="18" hidden="false" customHeight="true" outlineLevel="0" collapsed="false">
      <c r="A16" s="13" t="s">
        <v>54</v>
      </c>
      <c r="B16" s="26" t="n">
        <v>3</v>
      </c>
      <c r="C16" s="26" t="n">
        <v>1500</v>
      </c>
      <c r="D16" s="27" t="n">
        <f aca="false">B16*C16</f>
        <v>4500</v>
      </c>
      <c r="E16" s="26"/>
    </row>
    <row r="17" customFormat="false" ht="18" hidden="false" customHeight="true" outlineLevel="0" collapsed="false">
      <c r="A17" s="8" t="s">
        <v>55</v>
      </c>
      <c r="B17" s="28" t="n">
        <v>4</v>
      </c>
      <c r="C17" s="28" t="n">
        <v>1000</v>
      </c>
      <c r="D17" s="29" t="n">
        <f aca="false">B17*C17</f>
        <v>4000</v>
      </c>
      <c r="E17" s="28"/>
    </row>
    <row r="18" customFormat="false" ht="19.5" hidden="false" customHeight="true" outlineLevel="0" collapsed="false">
      <c r="A18" s="30" t="s">
        <v>56</v>
      </c>
      <c r="B18" s="30"/>
      <c r="C18" s="30"/>
      <c r="D18" s="31" t="n">
        <f aca="false">SUM(D16:D17)</f>
        <v>8500</v>
      </c>
      <c r="E18" s="32"/>
    </row>
    <row r="20" customFormat="false" ht="21.75" hidden="false" customHeight="true" outlineLevel="0" collapsed="false">
      <c r="A20" s="24" t="s">
        <v>57</v>
      </c>
      <c r="B20" s="24"/>
      <c r="C20" s="24"/>
      <c r="D20" s="24"/>
      <c r="E20" s="24"/>
    </row>
    <row r="21" customFormat="false" ht="21.75" hidden="false" customHeight="true" outlineLevel="0" collapsed="false">
      <c r="A21" s="25" t="s">
        <v>58</v>
      </c>
      <c r="B21" s="25"/>
      <c r="C21" s="25"/>
      <c r="D21" s="25" t="s">
        <v>59</v>
      </c>
      <c r="E21" s="25" t="s">
        <v>40</v>
      </c>
    </row>
    <row r="22" customFormat="false" ht="18" hidden="false" customHeight="true" outlineLevel="0" collapsed="false">
      <c r="A22" s="13" t="s">
        <v>60</v>
      </c>
      <c r="B22" s="13"/>
      <c r="C22" s="13"/>
      <c r="D22" s="27" t="n">
        <v>1000</v>
      </c>
      <c r="E22" s="13"/>
    </row>
    <row r="23" customFormat="false" ht="18" hidden="false" customHeight="true" outlineLevel="0" collapsed="false">
      <c r="A23" s="8" t="s">
        <v>61</v>
      </c>
      <c r="B23" s="8"/>
      <c r="C23" s="8"/>
      <c r="D23" s="29" t="n">
        <v>2000</v>
      </c>
      <c r="E23" s="8"/>
    </row>
    <row r="24" customFormat="false" ht="19.5" hidden="false" customHeight="true" outlineLevel="0" collapsed="false">
      <c r="A24" s="30" t="s">
        <v>62</v>
      </c>
      <c r="B24" s="30"/>
      <c r="C24" s="30"/>
      <c r="D24" s="31" t="n">
        <f aca="false">SUM(D22:D23)</f>
        <v>3000</v>
      </c>
      <c r="E24" s="32"/>
    </row>
    <row r="26" customFormat="false" ht="21.75" hidden="false" customHeight="true" outlineLevel="0" collapsed="false">
      <c r="A26" s="24" t="s">
        <v>63</v>
      </c>
      <c r="B26" s="24"/>
      <c r="C26" s="24"/>
      <c r="D26" s="24"/>
      <c r="E26" s="24"/>
    </row>
    <row r="27" customFormat="false" ht="21.75" hidden="false" customHeight="true" outlineLevel="0" collapsed="false">
      <c r="A27" s="25" t="s">
        <v>64</v>
      </c>
      <c r="B27" s="25" t="s">
        <v>65</v>
      </c>
      <c r="C27" s="25" t="s">
        <v>66</v>
      </c>
      <c r="D27" s="25" t="s">
        <v>39</v>
      </c>
      <c r="E27" s="25" t="s">
        <v>40</v>
      </c>
    </row>
    <row r="28" customFormat="false" ht="18" hidden="false" customHeight="true" outlineLevel="0" collapsed="false">
      <c r="A28" s="13" t="s">
        <v>67</v>
      </c>
      <c r="B28" s="26" t="n">
        <v>1</v>
      </c>
      <c r="C28" s="26" t="n">
        <v>2000</v>
      </c>
      <c r="D28" s="27" t="n">
        <f aca="false">B28*C28</f>
        <v>2000</v>
      </c>
      <c r="E28" s="26"/>
    </row>
    <row r="29" customFormat="false" ht="18" hidden="false" customHeight="true" outlineLevel="0" collapsed="false">
      <c r="A29" s="8" t="s">
        <v>68</v>
      </c>
      <c r="B29" s="28" t="n">
        <v>3</v>
      </c>
      <c r="C29" s="28" t="n">
        <v>500</v>
      </c>
      <c r="D29" s="29" t="n">
        <f aca="false">B29*C29</f>
        <v>1500</v>
      </c>
      <c r="E29" s="28"/>
    </row>
    <row r="30" customFormat="false" ht="18" hidden="false" customHeight="true" outlineLevel="0" collapsed="false">
      <c r="A30" s="13" t="s">
        <v>69</v>
      </c>
      <c r="B30" s="26" t="n">
        <v>2</v>
      </c>
      <c r="C30" s="26" t="n">
        <v>1200</v>
      </c>
      <c r="D30" s="27" t="n">
        <f aca="false">B30*C30</f>
        <v>2400</v>
      </c>
      <c r="E30" s="26"/>
    </row>
    <row r="31" customFormat="false" ht="19.5" hidden="false" customHeight="true" outlineLevel="0" collapsed="false">
      <c r="A31" s="30" t="s">
        <v>70</v>
      </c>
      <c r="B31" s="30"/>
      <c r="C31" s="30"/>
      <c r="D31" s="31" t="n">
        <f aca="false">SUM(D28:D30)</f>
        <v>5900</v>
      </c>
      <c r="E31" s="32"/>
    </row>
    <row r="33" customFormat="false" ht="25.5" hidden="false" customHeight="true" outlineLevel="0" collapsed="false">
      <c r="A33" s="33" t="s">
        <v>71</v>
      </c>
      <c r="B33" s="33"/>
      <c r="C33" s="33"/>
      <c r="D33" s="34" t="n">
        <f aca="false">D12+D18+D24+D31</f>
        <v>48350</v>
      </c>
      <c r="E33" s="32"/>
    </row>
    <row r="35" customFormat="false" ht="18" hidden="false" customHeight="true" outlineLevel="0" collapsed="false">
      <c r="A35" s="35" t="s">
        <v>72</v>
      </c>
      <c r="B35" s="35"/>
      <c r="C35" s="35"/>
      <c r="D35" s="35"/>
      <c r="E35" s="35"/>
    </row>
  </sheetData>
  <mergeCells count="11">
    <mergeCell ref="A1:E2"/>
    <mergeCell ref="A3:E3"/>
    <mergeCell ref="A12:C12"/>
    <mergeCell ref="A14:E14"/>
    <mergeCell ref="A18:C18"/>
    <mergeCell ref="A20:E20"/>
    <mergeCell ref="A24:C24"/>
    <mergeCell ref="A26:E26"/>
    <mergeCell ref="A31:C31"/>
    <mergeCell ref="A33:C33"/>
    <mergeCell ref="A35:E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20"/>
    <col collapsed="false" customWidth="true" hidden="false" outlineLevel="0" max="4" min="4" style="0" width="30"/>
  </cols>
  <sheetData>
    <row r="1" customFormat="false" ht="24" hidden="false" customHeight="true" outlineLevel="0" collapsed="false">
      <c r="A1" s="1" t="s">
        <v>73</v>
      </c>
      <c r="B1" s="1"/>
      <c r="C1" s="1"/>
      <c r="D1" s="1"/>
    </row>
    <row r="2" customFormat="false" ht="15" hidden="false" customHeight="false" outlineLevel="0" collapsed="false">
      <c r="A2" s="1"/>
      <c r="B2" s="1"/>
      <c r="C2" s="1"/>
      <c r="D2" s="1"/>
    </row>
    <row r="3" customFormat="false" ht="21.75" hidden="false" customHeight="true" outlineLevel="0" collapsed="false">
      <c r="A3" s="24" t="s">
        <v>74</v>
      </c>
      <c r="B3" s="24"/>
      <c r="C3" s="24"/>
      <c r="D3" s="24"/>
      <c r="E3" s="24"/>
    </row>
    <row r="4" customFormat="false" ht="24" hidden="false" customHeight="true" outlineLevel="0" collapsed="false">
      <c r="A4" s="5" t="s">
        <v>22</v>
      </c>
      <c r="B4" s="5" t="s">
        <v>75</v>
      </c>
      <c r="C4" s="5" t="s">
        <v>76</v>
      </c>
      <c r="D4" s="5" t="s">
        <v>77</v>
      </c>
    </row>
    <row r="5" customFormat="false" ht="19.5" hidden="false" customHeight="true" outlineLevel="0" collapsed="false">
      <c r="A5" s="36" t="s">
        <v>25</v>
      </c>
      <c r="B5" s="37" t="n">
        <v>1.75</v>
      </c>
      <c r="C5" s="38" t="n">
        <v>2.75</v>
      </c>
      <c r="D5" s="39" t="s">
        <v>4</v>
      </c>
    </row>
    <row r="6" customFormat="false" ht="19.5" hidden="false" customHeight="true" outlineLevel="0" collapsed="false">
      <c r="A6" s="40" t="s">
        <v>8</v>
      </c>
      <c r="B6" s="37" t="n">
        <v>1.75</v>
      </c>
      <c r="C6" s="38" t="n">
        <v>2.75</v>
      </c>
      <c r="D6" s="39" t="s">
        <v>4</v>
      </c>
    </row>
    <row r="7" customFormat="false" ht="19.5" hidden="false" customHeight="true" outlineLevel="0" collapsed="false">
      <c r="A7" s="36" t="s">
        <v>9</v>
      </c>
      <c r="B7" s="37" t="n">
        <v>1.5</v>
      </c>
      <c r="C7" s="38" t="n">
        <v>2.75</v>
      </c>
      <c r="D7" s="39" t="s">
        <v>4</v>
      </c>
    </row>
    <row r="8" customFormat="false" ht="19.5" hidden="false" customHeight="true" outlineLevel="0" collapsed="false">
      <c r="A8" s="40" t="s">
        <v>78</v>
      </c>
      <c r="B8" s="37" t="n">
        <v>1.5</v>
      </c>
      <c r="C8" s="38" t="n">
        <v>2</v>
      </c>
      <c r="D8" s="39" t="s">
        <v>4</v>
      </c>
    </row>
    <row r="10" customFormat="false" ht="21.75" hidden="false" customHeight="true" outlineLevel="0" collapsed="false">
      <c r="A10" s="24" t="s">
        <v>79</v>
      </c>
      <c r="B10" s="24"/>
      <c r="C10" s="24"/>
      <c r="D10" s="24"/>
      <c r="E10" s="24"/>
    </row>
    <row r="11" customFormat="false" ht="19.5" hidden="false" customHeight="true" outlineLevel="0" collapsed="false">
      <c r="A11" s="20" t="s">
        <v>80</v>
      </c>
      <c r="B11" s="20"/>
      <c r="C11" s="20"/>
      <c r="D11" s="20"/>
    </row>
    <row r="12" customFormat="false" ht="19.5" hidden="false" customHeight="true" outlineLevel="0" collapsed="false">
      <c r="A12" s="22" t="s">
        <v>81</v>
      </c>
      <c r="B12" s="22"/>
      <c r="C12" s="22"/>
      <c r="D12" s="22"/>
    </row>
    <row r="13" customFormat="false" ht="19.5" hidden="false" customHeight="true" outlineLevel="0" collapsed="false">
      <c r="A13" s="20" t="s">
        <v>82</v>
      </c>
      <c r="B13" s="20"/>
      <c r="C13" s="20"/>
      <c r="D13" s="20"/>
    </row>
    <row r="14" customFormat="false" ht="19.5" hidden="false" customHeight="true" outlineLevel="0" collapsed="false">
      <c r="A14" s="22" t="s">
        <v>83</v>
      </c>
      <c r="B14" s="22"/>
      <c r="C14" s="22"/>
      <c r="D14" s="22"/>
    </row>
    <row r="15" customFormat="false" ht="19.5" hidden="false" customHeight="true" outlineLevel="0" collapsed="false">
      <c r="A15" s="20" t="s">
        <v>84</v>
      </c>
      <c r="B15" s="20"/>
      <c r="C15" s="20"/>
      <c r="D15" s="20"/>
    </row>
  </sheetData>
  <mergeCells count="8">
    <mergeCell ref="A1:D2"/>
    <mergeCell ref="A3:E3"/>
    <mergeCell ref="A10:E10"/>
    <mergeCell ref="A11:D11"/>
    <mergeCell ref="A12:D12"/>
    <mergeCell ref="A13:D13"/>
    <mergeCell ref="A14:D14"/>
    <mergeCell ref="A15:D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2026-05-05T11:49:50Z</dcterms:created>
  <dc:creator>openpyxl</dc:creator>
  <dc:description/>
  <dc:language>en-US</dc:language>
  <cp:lastModifiedBy/>
  <dcterms:modified xsi:type="dcterms:W3CDTF">2026-05-05T11:49:50Z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